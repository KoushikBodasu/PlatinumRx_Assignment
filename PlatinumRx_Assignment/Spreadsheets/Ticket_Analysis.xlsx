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ticket" sheetId="1" r:id="rId1"/>
    <sheet name="feedback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<sst xmlns="http://schemas.openxmlformats.org/spreadsheetml/2006/main" count="44" uniqueCount="34">
  <si>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ticket_id</t>
  </si>
  <si>
    <t>created_at</t>
  </si>
  <si>
    <t>closed_at</t>
  </si>
  <si>
    <t>outlet_id</t>
  </si>
  <si>
    <t>cms_id</t>
  </si>
  <si>
    <t>Same_Day</t>
  </si>
  <si>
    <t>Same_Hour</t>
  </si>
  <si>
    <t>T1</t>
  </si>
  <si>
    <t>2021-08-19 16:45:43</t>
  </si>
  <si>
    <t>2021-08-22 12:33:32</t>
  </si>
  <si>
    <t>O1</t>
  </si>
  <si>
    <t>C1</t>
  </si>
  <si>
    <t>T2</t>
  </si>
  <si>
    <t>2021-08-21 11:09:22</t>
  </si>
  <si>
    <t>2021-08-21 17:13:45</t>
  </si>
  <si>
    <t>O2</t>
  </si>
  <si>
    <t>C2</t>
  </si>
  <si>
    <t>T3</t>
  </si>
  <si>
    <t>2021-08-22 10:00:00</t>
  </si>
  <si>
    <t>2021-08-22 10:30:00</t>
  </si>
  <si>
    <t>C3</t>
  </si>
  <si>
    <t>T4</t>
  </si>
  <si>
    <t>2021-08-23 09:15:00</t>
  </si>
  <si>
    <t>2021-08-23 09:45:00</t>
  </si>
  <si>
    <t>C4</t>
  </si>
  <si>
    <t>feedback_at</t>
  </si>
  <si>
    <t>feedback_rating</t>
  </si>
  <si>
    <t>ticket_created_at</t>
  </si>
  <si>
    <t>2021-08-21 13:26:48</t>
  </si>
  <si>
    <t>2021-08-22 15:00:00</t>
  </si>
  <si>
    <t>2021-08-22 11:00:00</t>
  </si>
  <si>
    <t>2021-08-23 10:00:00</t>
  </si>
  <si>
    <t>Same_Day_Count</t>
  </si>
  <si>
    <t>Same_Hour_Count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</si>
</sst>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D27" sqref="D27"/>
    </sheetView>
  </sheetViews>
  <sheetFormatPr defaultColWidth="9" defaultRowHeight="14.4" outlineLevelRow="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b">
        <f>INT(B2)=INT(C2)</f>
        <v>0</v>
      </c>
      <c r="G2" t="b">
        <f>AND(INT(B2)=INT(C2),HOUR(B2)=HOUR(C2))</f>
        <v>0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b">
        <f>INT(B3)=INT(C3)</f>
        <v>1</v>
      </c>
      <c r="G3" t="b">
        <f>AND(INT(B3)=INT(C3),HOUR(B3)=HOUR(C3))</f>
        <v>0</v>
      </c>
    </row>
    <row r="4" spans="1:7">
      <c r="A4" t="s">
        <v>17</v>
      </c>
      <c r="B4" t="s">
        <v>18</v>
      </c>
      <c r="C4" t="s">
        <v>19</v>
      </c>
      <c r="D4" t="s">
        <v>10</v>
      </c>
      <c r="E4" t="s">
        <v>20</v>
      </c>
      <c r="F4" t="b">
        <f>INT(B4)=INT(C4)</f>
        <v>1</v>
      </c>
      <c r="G4" t="b">
        <f>AND(INT(B4)=INT(C4),HOUR(B4)=HOUR(C4))</f>
        <v>1</v>
      </c>
    </row>
    <row r="5" spans="1:7">
      <c r="A5" t="s">
        <v>21</v>
      </c>
      <c r="B5" t="s">
        <v>22</v>
      </c>
      <c r="C5" t="s">
        <v>23</v>
      </c>
      <c r="D5" t="s">
        <v>15</v>
      </c>
      <c r="E5" t="s">
        <v>24</v>
      </c>
      <c r="F5" t="b">
        <f>INT(B5)=INT(C5)</f>
        <v>1</v>
      </c>
      <c r="G5" t="b">
        <f>AND(INT(B5)=INT(C5),HOUR(B5)=HOUR(C5))</f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4.4" outlineLevelRow="4" outlineLevelCol="3"/>
  <sheetData>
    <row r="1" spans="1:4">
      <c r="A1" t="s">
        <v>4</v>
      </c>
      <c r="B1" t="s">
        <v>25</v>
      </c>
      <c r="C1" t="s">
        <v>26</v>
      </c>
      <c r="D1" t="s">
        <v>27</v>
      </c>
    </row>
    <row r="2" spans="1:4">
      <c r="A2" t="s">
        <v>11</v>
      </c>
      <c r="B2" t="s">
        <v>28</v>
      </c>
      <c r="C2">
        <v>3</v>
      </c>
      <c r="D2" t="str">
        <f>_xlfn.XLOOKUP(A2,ticket!E:E,ticket!B:B)</f>
        <v>2021-08-19 16:45:43</v>
      </c>
    </row>
    <row r="3" spans="1:4">
      <c r="A3" t="s">
        <v>16</v>
      </c>
      <c r="B3" t="s">
        <v>29</v>
      </c>
      <c r="C3">
        <v>4</v>
      </c>
      <c r="D3" t="str">
        <f>_xlfn.XLOOKUP(A3,ticket!E:E,ticket!B:B)</f>
        <v>2021-08-21 11:09:22</v>
      </c>
    </row>
    <row r="4" spans="1:4">
      <c r="A4" t="s">
        <v>20</v>
      </c>
      <c r="B4" t="s">
        <v>30</v>
      </c>
      <c r="C4">
        <v>5</v>
      </c>
      <c r="D4" t="str">
        <f>_xlfn.XLOOKUP(A4,ticket!E:E,ticket!B:B)</f>
        <v>2021-08-22 10:00:00</v>
      </c>
    </row>
    <row r="5" spans="1:4">
      <c r="A5" t="s">
        <v>24</v>
      </c>
      <c r="B5" t="s">
        <v>31</v>
      </c>
      <c r="C5">
        <v>2</v>
      </c>
      <c r="D5" t="str">
        <f>_xlfn.XLOOKUP(A5,ticket!E:E,ticket!B:B)</f>
        <v>2021-08-23 09:15:00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4" outlineLevelRow="2" outlineLevelCol="2"/>
  <sheetData>
    <row r="1" spans="1:3">
      <c r="A1" t="s">
        <v>3</v>
      </c>
      <c r="B1" t="s">
        <v>32</v>
      </c>
      <c r="C1" t="s">
        <v>33</v>
      </c>
    </row>
    <row r="2" spans="1:3">
      <c r="A2" t="s">
        <v>10</v>
      </c>
      <c r="B2">
        <f>COUNTIFS(ticket!D:D,"O1",ticket!F:F,TRUE)</f>
        <v>1</v>
      </c>
      <c r="C2">
        <f>COUNTIFS(ticket!D:D,"O1",ticket!G:G,TRUE)</f>
        <v>1</v>
      </c>
    </row>
    <row r="3" spans="1:3">
      <c r="A3" t="s">
        <v>15</v>
      </c>
      <c r="B3">
        <f>COUNTIFS(ticket!D:D,"O2",ticket!F:F,TRUE)</f>
        <v>2</v>
      </c>
      <c r="C3">
        <f>COUNTIFS(ticket!D:D,"O2",ticket!G:G,TRUE)</f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ticket</vt:lpstr>
      <vt:lpstr>feedbacks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raoto</cp:lastModifiedBy>
  <dcterms:created xsi:type="dcterms:W3CDTF">2026-04-08T15:26:00Z</dcterms:created>
  <dcterms:modified xsi:type="dcterms:W3CDTF">2026-04-08T15:30:22Z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CA097E2E139649229583068C46BEAB9D_12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